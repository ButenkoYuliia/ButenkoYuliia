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ta" sheetId="1" state="visible" r:id="rId3"/>
    <sheet name="Conversion" sheetId="2" state="visible" r:id="rId4"/>
    <sheet name="Answer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<sst xmlns="http://schemas.openxmlformats.org/spreadsheetml/2006/main" count="41" uniqueCount="36">
  <si>
    <t xml:space="preserve">Course</t>
  </si>
  <si>
    <t xml:space="preserve">Registered</t>
  </si>
  <si>
    <t xml:space="preserve">Started Course</t>
  </si>
  <si>
    <t xml:space="preserve">Completed Module 1</t>
  </si>
  <si>
    <t xml:space="preserve">Completed Final Project</t>
  </si>
  <si>
    <t xml:space="preserve">Graduated</t>
  </si>
  <si>
    <t xml:space="preserve">% registered students of total</t>
  </si>
  <si>
    <t xml:space="preserve">Frontend Development</t>
  </si>
  <si>
    <t xml:space="preserve">Fullstack Development</t>
  </si>
  <si>
    <t xml:space="preserve">Data Analytics</t>
  </si>
  <si>
    <t xml:space="preserve">QA Manual</t>
  </si>
  <si>
    <t xml:space="preserve">UI/UX Design</t>
  </si>
  <si>
    <t xml:space="preserve">DevOps Fundamentals</t>
  </si>
  <si>
    <t xml:space="preserve">Total</t>
  </si>
  <si>
    <t xml:space="preserve">Total registered students:</t>
  </si>
  <si>
    <t xml:space="preserve">Source: online_courses_stats.csv (blue = raw input data)</t>
  </si>
  <si>
    <t xml:space="preserve">Total conversion</t>
  </si>
  <si>
    <t xml:space="preserve">Step 1: Registered -&gt; Started Course</t>
  </si>
  <si>
    <t xml:space="preserve">Step 2: Started Course -&gt; Completed Module 1</t>
  </si>
  <si>
    <t xml:space="preserve">Step 3: Completed Module 1 -&gt; Completed Final Project</t>
  </si>
  <si>
    <t xml:space="preserve">Step 4: Completed Final Project -&gt; Graduated</t>
  </si>
  <si>
    <t xml:space="preserve">Total (all courses)</t>
  </si>
  <si>
    <t xml:space="preserve">Conversion = students at next stage / students at previous stage. Total conversion = Graduated / Registered.</t>
  </si>
  <si>
    <t xml:space="preserve">Відповіді на питання</t>
  </si>
  <si>
    <t xml:space="preserve">Питання</t>
  </si>
  <si>
    <t xml:space="preserve">Відповідь</t>
  </si>
  <si>
    <t xml:space="preserve">Показник</t>
  </si>
  <si>
    <t xml:space="preserve">Пояснення</t>
  </si>
  <si>
    <t xml:space="preserve">Який курс є найбільш популярним серед студентів?</t>
  </si>
  <si>
    <t xml:space="preserve">Який курс є найменш популярним?</t>
  </si>
  <si>
    <t xml:space="preserve">Яке найбільш “вразливе” місце воронки?</t>
  </si>
  <si>
    <t xml:space="preserve">Втрати студентів на кожному етапі (всі курси разом)</t>
  </si>
  <si>
    <t xml:space="preserve">Етап</t>
  </si>
  <si>
    <t xml:space="preserve">Студентів на вході</t>
  </si>
  <si>
    <t xml:space="preserve">Втрачено студентів</t>
  </si>
  <si>
    <t xml:space="preserve">% втрат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</si>
</sst>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"/>
    <numFmt numFmtId="166" formatCode="0.0%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1"/>
      <color rgb="FF000000"/>
      <name val="Arial"/>
      <family val="0"/>
      <charset val="1"/>
    </font>
    <font>
      <sz val="11"/>
      <color rgb="FF0000FF"/>
      <name val="Arial"/>
      <family val="0"/>
      <charset val="1"/>
    </font>
    <font>
      <sz val="11"/>
      <name val="Arial"/>
      <family val="0"/>
      <charset val="1"/>
    </font>
    <font>
      <b val="true"/>
      <sz val="11"/>
      <name val="Arial"/>
      <family val="0"/>
      <charset val="1"/>
    </font>
    <font>
      <i val="true"/>
      <sz val="9"/>
      <color rgb="FF808080"/>
      <name val="Arial"/>
      <family val="0"/>
      <charset val="1"/>
    </font>
    <font>
      <sz val="11"/>
      <color rgb="FF008000"/>
      <name val="Arial"/>
      <family val="0"/>
      <charset val="1"/>
    </font>
    <font>
      <b val="true"/>
      <sz val="11"/>
      <color rgb="FF008000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b val="true"/>
      <sz val="14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DDEBF7"/>
        <bgColor rgb="FFD9D9D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2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DDEB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F81BD"/>
      <rgbColor rgb="FF878787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Funnel (all courses)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Data!$B$1:$F$1</c:f>
              <c:strCache>
                <c:ptCount val="5"/>
                <c:pt idx="0">
                  <c:v>Registered</c:v>
                </c:pt>
                <c:pt idx="1">
                  <c:v>Started Course</c:v>
                </c:pt>
                <c:pt idx="2">
                  <c:v>Completed Module 1</c:v>
                </c:pt>
                <c:pt idx="3">
                  <c:v>Completed Final Project</c:v>
                </c:pt>
                <c:pt idx="4">
                  <c:v>Graduated</c:v>
                </c:pt>
              </c:strCache>
            </c:strRef>
          </c:cat>
          <c:val>
            <c:numRef>
              <c:f>Data!$B$9:$F$9</c:f>
              <c:numCache>
                <c:formatCode>#,##0</c:formatCode>
                <c:ptCount val="5"/>
                <c:pt idx="0">
                  <c:v>1810</c:v>
                </c:pt>
                <c:pt idx="1">
                  <c:v>1500</c:v>
                </c:pt>
                <c:pt idx="2">
                  <c:v>1265</c:v>
                </c:pt>
                <c:pt idx="3">
                  <c:v>890</c:v>
                </c:pt>
                <c:pt idx="4">
                  <c:v>770</c:v>
                </c:pt>
              </c:numCache>
            </c:numRef>
          </c:val>
        </c:ser>
        <c:gapWidth val="150"/>
        <c:overlap val="0"/>
        <c:axId val="13277581"/>
        <c:axId val="14646336"/>
      </c:barChart>
      <c:catAx>
        <c:axId val="13277581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4646336"/>
        <c:crosses val="autoZero"/>
        <c:auto val="1"/>
        <c:lblAlgn val="ctr"/>
        <c:lblOffset val="100"/>
        <c:noMultiLvlLbl val="0"/>
      </c:catAx>
      <c:valAx>
        <c:axId val="1464633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Students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3277581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14</xdr:row>
      <xdr:rowOff>160920</xdr:rowOff>
    </xdr:from>
    <xdr:to>
      <xdr:col>1</xdr:col>
      <xdr:colOff>2235240</xdr:colOff>
      <xdr:row>29</xdr:row>
      <xdr:rowOff>182880</xdr:rowOff>
    </xdr:to>
    <xdr:graphicFrame>
      <xdr:nvGraphicFramePr>
        <xdr:cNvPr id="0" name="Chart 1"/>
        <xdr:cNvGraphicFramePr/>
      </xdr:nvGraphicFramePr>
      <xdr:xfrm>
        <a:off x="0" y="4686480"/>
        <a:ext cx="575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6" min="2" style="0" width="14"/>
    <col collapsed="false" customWidth="true" hidden="false" outlineLevel="0" max="7" min="7" style="0" width="18"/>
  </cols>
  <sheetData>
    <row r="1" customFormat="false" ht="4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Format="false" ht="15" hidden="false" customHeight="false" outlineLevel="0" collapsed="false">
      <c r="A2" s="2" t="s">
        <v>7</v>
      </c>
      <c r="B2" s="3" t="n">
        <v>320</v>
      </c>
      <c r="C2" s="3" t="n">
        <v>250</v>
      </c>
      <c r="D2" s="3" t="n">
        <v>210</v>
      </c>
      <c r="E2" s="3" t="n">
        <v>140</v>
      </c>
      <c r="F2" s="3" t="n">
        <v>120</v>
      </c>
      <c r="G2" s="4" t="n">
        <f aca="false">B2/$B$9</f>
        <v>0.176795580110497</v>
      </c>
    </row>
    <row r="3" customFormat="false" ht="15" hidden="false" customHeight="false" outlineLevel="0" collapsed="false">
      <c r="A3" s="2" t="s">
        <v>8</v>
      </c>
      <c r="B3" s="3" t="n">
        <v>280</v>
      </c>
      <c r="C3" s="3" t="n">
        <v>220</v>
      </c>
      <c r="D3" s="3" t="n">
        <v>170</v>
      </c>
      <c r="E3" s="3" t="n">
        <v>110</v>
      </c>
      <c r="F3" s="3" t="n">
        <v>95</v>
      </c>
      <c r="G3" s="4" t="n">
        <f aca="false">B3/$B$9</f>
        <v>0.154696132596685</v>
      </c>
    </row>
    <row r="4" customFormat="false" ht="15" hidden="false" customHeight="false" outlineLevel="0" collapsed="false">
      <c r="A4" s="2" t="s">
        <v>9</v>
      </c>
      <c r="B4" s="3" t="n">
        <v>350</v>
      </c>
      <c r="C4" s="3" t="n">
        <v>300</v>
      </c>
      <c r="D4" s="3" t="n">
        <v>260</v>
      </c>
      <c r="E4" s="3" t="n">
        <v>180</v>
      </c>
      <c r="F4" s="3" t="n">
        <v>150</v>
      </c>
      <c r="G4" s="4" t="n">
        <f aca="false">B4/$B$9</f>
        <v>0.193370165745856</v>
      </c>
    </row>
    <row r="5" customFormat="false" ht="15" hidden="false" customHeight="false" outlineLevel="0" collapsed="false">
      <c r="A5" s="2" t="s">
        <v>10</v>
      </c>
      <c r="B5" s="3" t="n">
        <v>410</v>
      </c>
      <c r="C5" s="3" t="n">
        <v>380</v>
      </c>
      <c r="D5" s="3" t="n">
        <v>340</v>
      </c>
      <c r="E5" s="3" t="n">
        <v>260</v>
      </c>
      <c r="F5" s="3" t="n">
        <v>230</v>
      </c>
      <c r="G5" s="4" t="n">
        <f aca="false">B5/$B$9</f>
        <v>0.226519337016575</v>
      </c>
    </row>
    <row r="6" customFormat="false" ht="15" hidden="false" customHeight="false" outlineLevel="0" collapsed="false">
      <c r="A6" s="2" t="s">
        <v>11</v>
      </c>
      <c r="B6" s="3" t="n">
        <v>260</v>
      </c>
      <c r="C6" s="3" t="n">
        <v>200</v>
      </c>
      <c r="D6" s="3" t="n">
        <v>165</v>
      </c>
      <c r="E6" s="3" t="n">
        <v>120</v>
      </c>
      <c r="F6" s="3" t="n">
        <v>105</v>
      </c>
      <c r="G6" s="4" t="n">
        <f aca="false">B6/$B$9</f>
        <v>0.143646408839779</v>
      </c>
    </row>
    <row r="7" customFormat="false" ht="15" hidden="false" customHeight="false" outlineLevel="0" collapsed="false">
      <c r="A7" s="2" t="s">
        <v>12</v>
      </c>
      <c r="B7" s="3" t="n">
        <v>190</v>
      </c>
      <c r="C7" s="3" t="n">
        <v>150</v>
      </c>
      <c r="D7" s="3" t="n">
        <v>120</v>
      </c>
      <c r="E7" s="3" t="n">
        <v>80</v>
      </c>
      <c r="F7" s="3" t="n">
        <v>70</v>
      </c>
      <c r="G7" s="4" t="n">
        <f aca="false">B7/$B$9</f>
        <v>0.104972375690608</v>
      </c>
    </row>
    <row r="8" customFormat="false" ht="15" hidden="false" customHeight="false" outlineLevel="0" collapsed="false">
      <c r="B8" s="5"/>
      <c r="C8" s="5"/>
      <c r="D8" s="5"/>
      <c r="E8" s="5"/>
      <c r="F8" s="5"/>
    </row>
    <row r="9" customFormat="false" ht="15" hidden="false" customHeight="false" outlineLevel="0" collapsed="false">
      <c r="A9" s="6" t="s">
        <v>13</v>
      </c>
      <c r="B9" s="7" t="n">
        <f aca="false">SUM(B2:B7)</f>
        <v>1810</v>
      </c>
      <c r="C9" s="7" t="n">
        <f aca="false">SUM(C2:C7)</f>
        <v>1500</v>
      </c>
      <c r="D9" s="7" t="n">
        <f aca="false">SUM(D2:D7)</f>
        <v>1265</v>
      </c>
      <c r="E9" s="7" t="n">
        <f aca="false">SUM(E2:E7)</f>
        <v>890</v>
      </c>
      <c r="F9" s="7" t="n">
        <f aca="false">SUM(F2:F7)</f>
        <v>770</v>
      </c>
      <c r="G9" s="8" t="n">
        <f aca="false">SUM(G2:G7)</f>
        <v>1</v>
      </c>
    </row>
    <row r="11" customFormat="false" ht="15" hidden="false" customHeight="false" outlineLevel="0" collapsed="false">
      <c r="A11" s="9" t="s">
        <v>14</v>
      </c>
      <c r="B11" s="10" t="n">
        <f aca="false">SUM(B2:B7)</f>
        <v>1810</v>
      </c>
    </row>
    <row r="12" customFormat="false" ht="15" hidden="false" customHeight="false" outlineLevel="0" collapsed="false">
      <c r="A12" s="11" t="s">
        <v>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6" min="2" style="0" width="22"/>
  </cols>
  <sheetData>
    <row r="1" customFormat="false" ht="45" hidden="false" customHeight="true" outlineLevel="0" collapsed="false">
      <c r="A1" s="1" t="s">
        <v>0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</row>
    <row r="2" customFormat="false" ht="15" hidden="false" customHeight="false" outlineLevel="0" collapsed="false">
      <c r="A2" s="12" t="str">
        <f aca="false">Data!A2</f>
        <v>Frontend Development</v>
      </c>
      <c r="B2" s="13" t="n">
        <f aca="false">Data!F2/Data!B2</f>
        <v>0.375</v>
      </c>
      <c r="C2" s="13" t="n">
        <f aca="false">Data!C2/Data!B2</f>
        <v>0.78125</v>
      </c>
      <c r="D2" s="13" t="n">
        <f aca="false">Data!D2/Data!C2</f>
        <v>0.84</v>
      </c>
      <c r="E2" s="13" t="n">
        <f aca="false">Data!E2/Data!D2</f>
        <v>0.666666666666667</v>
      </c>
      <c r="F2" s="13" t="n">
        <f aca="false">Data!F2/Data!E2</f>
        <v>0.857142857142857</v>
      </c>
    </row>
    <row r="3" customFormat="false" ht="15" hidden="false" customHeight="false" outlineLevel="0" collapsed="false">
      <c r="A3" s="12" t="str">
        <f aca="false">Data!A3</f>
        <v>Fullstack Development</v>
      </c>
      <c r="B3" s="13" t="n">
        <f aca="false">Data!F3/Data!B3</f>
        <v>0.339285714285714</v>
      </c>
      <c r="C3" s="13" t="n">
        <f aca="false">Data!C3/Data!B3</f>
        <v>0.785714285714286</v>
      </c>
      <c r="D3" s="13" t="n">
        <f aca="false">Data!D3/Data!C3</f>
        <v>0.772727272727273</v>
      </c>
      <c r="E3" s="13" t="n">
        <f aca="false">Data!E3/Data!D3</f>
        <v>0.647058823529412</v>
      </c>
      <c r="F3" s="13" t="n">
        <f aca="false">Data!F3/Data!E3</f>
        <v>0.863636363636364</v>
      </c>
    </row>
    <row r="4" customFormat="false" ht="15" hidden="false" customHeight="false" outlineLevel="0" collapsed="false">
      <c r="A4" s="12" t="str">
        <f aca="false">Data!A4</f>
        <v>Data Analytics</v>
      </c>
      <c r="B4" s="13" t="n">
        <f aca="false">Data!F4/Data!B4</f>
        <v>0.428571428571429</v>
      </c>
      <c r="C4" s="13" t="n">
        <f aca="false">Data!C4/Data!B4</f>
        <v>0.857142857142857</v>
      </c>
      <c r="D4" s="13" t="n">
        <f aca="false">Data!D4/Data!C4</f>
        <v>0.866666666666667</v>
      </c>
      <c r="E4" s="13" t="n">
        <f aca="false">Data!E4/Data!D4</f>
        <v>0.692307692307692</v>
      </c>
      <c r="F4" s="13" t="n">
        <f aca="false">Data!F4/Data!E4</f>
        <v>0.833333333333333</v>
      </c>
    </row>
    <row r="5" customFormat="false" ht="15" hidden="false" customHeight="false" outlineLevel="0" collapsed="false">
      <c r="A5" s="12" t="str">
        <f aca="false">Data!A5</f>
        <v>QA Manual</v>
      </c>
      <c r="B5" s="13" t="n">
        <f aca="false">Data!F5/Data!B5</f>
        <v>0.560975609756098</v>
      </c>
      <c r="C5" s="13" t="n">
        <f aca="false">Data!C5/Data!B5</f>
        <v>0.926829268292683</v>
      </c>
      <c r="D5" s="13" t="n">
        <f aca="false">Data!D5/Data!C5</f>
        <v>0.894736842105263</v>
      </c>
      <c r="E5" s="13" t="n">
        <f aca="false">Data!E5/Data!D5</f>
        <v>0.764705882352941</v>
      </c>
      <c r="F5" s="13" t="n">
        <f aca="false">Data!F5/Data!E5</f>
        <v>0.884615384615385</v>
      </c>
    </row>
    <row r="6" customFormat="false" ht="15" hidden="false" customHeight="false" outlineLevel="0" collapsed="false">
      <c r="A6" s="12" t="str">
        <f aca="false">Data!A6</f>
        <v>UI/UX Design</v>
      </c>
      <c r="B6" s="13" t="n">
        <f aca="false">Data!F6/Data!B6</f>
        <v>0.403846153846154</v>
      </c>
      <c r="C6" s="13" t="n">
        <f aca="false">Data!C6/Data!B6</f>
        <v>0.769230769230769</v>
      </c>
      <c r="D6" s="13" t="n">
        <f aca="false">Data!D6/Data!C6</f>
        <v>0.825</v>
      </c>
      <c r="E6" s="13" t="n">
        <f aca="false">Data!E6/Data!D6</f>
        <v>0.727272727272727</v>
      </c>
      <c r="F6" s="13" t="n">
        <f aca="false">Data!F6/Data!E6</f>
        <v>0.875</v>
      </c>
    </row>
    <row r="7" customFormat="false" ht="15" hidden="false" customHeight="false" outlineLevel="0" collapsed="false">
      <c r="A7" s="12" t="str">
        <f aca="false">Data!A7</f>
        <v>DevOps Fundamentals</v>
      </c>
      <c r="B7" s="13" t="n">
        <f aca="false">Data!F7/Data!B7</f>
        <v>0.368421052631579</v>
      </c>
      <c r="C7" s="13" t="n">
        <f aca="false">Data!C7/Data!B7</f>
        <v>0.789473684210526</v>
      </c>
      <c r="D7" s="13" t="n">
        <f aca="false">Data!D7/Data!C7</f>
        <v>0.8</v>
      </c>
      <c r="E7" s="13" t="n">
        <f aca="false">Data!E7/Data!D7</f>
        <v>0.666666666666667</v>
      </c>
      <c r="F7" s="13" t="n">
        <f aca="false">Data!F7/Data!E7</f>
        <v>0.875</v>
      </c>
    </row>
    <row r="9" customFormat="false" ht="15" hidden="false" customHeight="false" outlineLevel="0" collapsed="false">
      <c r="A9" s="14" t="s">
        <v>21</v>
      </c>
      <c r="B9" s="15" t="n">
        <f aca="false">Data!F9/Data!B9</f>
        <v>0.425414364640884</v>
      </c>
      <c r="C9" s="15" t="n">
        <f aca="false">Data!C9/Data!B9</f>
        <v>0.828729281767956</v>
      </c>
      <c r="D9" s="15" t="n">
        <f aca="false">Data!D9/Data!C9</f>
        <v>0.843333333333333</v>
      </c>
      <c r="E9" s="15" t="n">
        <f aca="false">Data!E9/Data!D9</f>
        <v>0.703557312252965</v>
      </c>
      <c r="F9" s="15" t="n">
        <f aca="false">Data!F9/Data!E9</f>
        <v>0.865168539325843</v>
      </c>
    </row>
    <row r="11" customFormat="false" ht="15" hidden="false" customHeight="false" outlineLevel="0" collapsed="false">
      <c r="A11" s="11" t="s">
        <v>22</v>
      </c>
    </row>
  </sheetData>
  <conditionalFormatting sqref="C2:F8">
    <cfRule type="colorScale" priority="2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2" min="2" style="0" width="34"/>
    <col collapsed="false" customWidth="true" hidden="false" outlineLevel="0" max="3" min="3" style="0" width="16"/>
    <col collapsed="false" customWidth="true" hidden="false" outlineLevel="0" max="4" min="4" style="0" width="60"/>
  </cols>
  <sheetData>
    <row r="1" customFormat="false" ht="17.35" hidden="false" customHeight="false" outlineLevel="0" collapsed="false">
      <c r="A1" s="16" t="s">
        <v>23</v>
      </c>
    </row>
    <row r="3" customFormat="false" ht="45" hidden="false" customHeight="true" outlineLevel="0" collapsed="false">
      <c r="A3" s="1" t="s">
        <v>24</v>
      </c>
      <c r="B3" s="1" t="s">
        <v>25</v>
      </c>
      <c r="C3" s="1" t="s">
        <v>26</v>
      </c>
      <c r="D3" s="1" t="s">
        <v>27</v>
      </c>
    </row>
    <row r="4" customFormat="false" ht="48" hidden="false" customHeight="true" outlineLevel="0" collapsed="false">
      <c r="A4" s="17" t="s">
        <v>28</v>
      </c>
      <c r="B4" s="18" t="str">
        <f aca="false">INDEX(Data!A2:A7,MATCH(MAX(Data!B2:B7),Data!B2:B7,0))</f>
        <v>QA Manual</v>
      </c>
      <c r="C4" s="19" t="n">
        <f aca="false">MAX(Data!B2:B7)</f>
        <v>410</v>
      </c>
      <c r="D4" s="17" t="str">
        <f aca="false">"Найбільша кількість реєстрацій: "&amp;C4&amp;" студентів ("&amp;TEXT(C4/Data!B9,"0.0%")&amp;" від загальної кількості)"</f>
        <v>Найбільша кількість реєстрацій: 410 студентів (22.7% від загальної кількості)</v>
      </c>
    </row>
    <row r="5" customFormat="false" ht="48" hidden="false" customHeight="true" outlineLevel="0" collapsed="false">
      <c r="A5" s="17" t="s">
        <v>29</v>
      </c>
      <c r="B5" s="18" t="str">
        <f aca="false">INDEX(Data!A2:A7,MATCH(MIN(Data!B2:B7),Data!B2:B7,0))</f>
        <v>DevOps Fundamentals</v>
      </c>
      <c r="C5" s="19" t="n">
        <f aca="false">MIN(Data!B2:B7)</f>
        <v>190</v>
      </c>
      <c r="D5" s="17" t="str">
        <f aca="false">"Найменша кількість реєстрацій: "&amp;C5&amp;" студентів ("&amp;TEXT(C5/Data!B9,"0.0%")&amp;" від загальної кількості)"</f>
        <v>Найменша кількість реєстрацій: 190 студентів (10.5% від загальної кількості)</v>
      </c>
    </row>
    <row r="6" customFormat="false" ht="48" hidden="false" customHeight="true" outlineLevel="0" collapsed="false">
      <c r="A6" s="17" t="s">
        <v>30</v>
      </c>
      <c r="B6" s="18" t="str">
        <f aca="false">INDEX(Conversion!C1:F1,MATCH(MIN(Conversion!C9:F9),Conversion!C9:F9,0))</f>
        <v>Step 3: Completed Module 1 -&gt; Completed Final Project</v>
      </c>
      <c r="C6" s="20" t="n">
        <f aca="false">MIN(Conversion!C9:F9)</f>
        <v>0.703557312252965</v>
      </c>
      <c r="D6" s="17" t="str">
        <f aca="false">"Найнижча конверсія по всіх курсах: лише "&amp;TEXT(C6,"0.0%")&amp;" студентів переходять на наступний етап, втрачається "&amp;(Data!D9-Data!E9)&amp;" студентів ("&amp;TEXT(1-C6,"0.0%")&amp;") — найбільше серед усіх етапів. Цей етап найслабший для кожного курсу."</f>
        <v>Найнижча конверсія по всіх курсах: лише 70.4% студентів переходять на наступний етап, втрачається 375 студентів (29.6%) — найбільше серед усіх етапів. Цей етап найслабший для кожного курсу.</v>
      </c>
    </row>
    <row r="8" customFormat="false" ht="15" hidden="false" customHeight="false" outlineLevel="0" collapsed="false">
      <c r="A8" s="9" t="s">
        <v>31</v>
      </c>
    </row>
    <row r="9" customFormat="false" ht="30" hidden="false" customHeight="true" outlineLevel="0" collapsed="false">
      <c r="A9" s="1" t="s">
        <v>32</v>
      </c>
      <c r="B9" s="1" t="s">
        <v>33</v>
      </c>
      <c r="C9" s="1" t="s">
        <v>34</v>
      </c>
      <c r="D9" s="1" t="s">
        <v>35</v>
      </c>
    </row>
    <row r="10" customFormat="false" ht="15" hidden="false" customHeight="false" outlineLevel="0" collapsed="false">
      <c r="A10" s="21" t="s">
        <v>17</v>
      </c>
      <c r="B10" s="22" t="n">
        <f aca="false">Data!B9</f>
        <v>1810</v>
      </c>
      <c r="C10" s="21" t="n">
        <f aca="false">Data!B9-Data!C9</f>
        <v>310</v>
      </c>
      <c r="D10" s="4" t="n">
        <f aca="false">C10/B10</f>
        <v>0.171270718232044</v>
      </c>
    </row>
    <row r="11" customFormat="false" ht="15" hidden="false" customHeight="false" outlineLevel="0" collapsed="false">
      <c r="A11" s="21" t="s">
        <v>18</v>
      </c>
      <c r="B11" s="22" t="n">
        <f aca="false">Data!C9</f>
        <v>1500</v>
      </c>
      <c r="C11" s="21" t="n">
        <f aca="false">Data!C9-Data!D9</f>
        <v>235</v>
      </c>
      <c r="D11" s="4" t="n">
        <f aca="false">C11/B11</f>
        <v>0.156666666666667</v>
      </c>
    </row>
    <row r="12" customFormat="false" ht="15" hidden="false" customHeight="false" outlineLevel="0" collapsed="false">
      <c r="A12" s="21" t="s">
        <v>19</v>
      </c>
      <c r="B12" s="22" t="n">
        <f aca="false">Data!D9</f>
        <v>1265</v>
      </c>
      <c r="C12" s="21" t="n">
        <f aca="false">Data!D9-Data!E9</f>
        <v>375</v>
      </c>
      <c r="D12" s="4" t="n">
        <f aca="false">C12/B12</f>
        <v>0.296442687747036</v>
      </c>
    </row>
    <row r="13" customFormat="false" ht="15" hidden="false" customHeight="false" outlineLevel="0" collapsed="false">
      <c r="A13" s="21" t="s">
        <v>20</v>
      </c>
      <c r="B13" s="22" t="n">
        <f aca="false">Data!E9</f>
        <v>890</v>
      </c>
      <c r="C13" s="21" t="n">
        <f aca="false">Data!E9-Data!F9</f>
        <v>120</v>
      </c>
      <c r="D13" s="4" t="n">
        <f aca="false">C13/B13</f>
        <v>0.134831460674157</v>
      </c>
    </row>
  </sheetData>
  <conditionalFormatting sqref="D10:D13">
    <cfRule type="colorScale" priority="2">
      <colorScale>
        <cfvo type="min" val="0"/>
        <cfvo type="max" val="0"/>
        <color rgb="FFFFFFFF"/>
        <color rgb="FFF8696B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2026-10-12T06:16:19Z</dcterms:created>
  <dc:creator>openpyxl</dc:creator>
  <dc:description/>
  <dc:language>en-US</dc:language>
  <cp:lastModifiedBy/>
  <dcterms:modified xsi:type="dcterms:W3CDTF">2026-10-12T06:16:21Z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